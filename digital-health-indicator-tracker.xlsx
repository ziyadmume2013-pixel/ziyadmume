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mmunization Tracker" sheetId="2" state="visible" r:id="rId2"/>
    <sheet xmlns:r="http://schemas.openxmlformats.org/officeDocument/2006/relationships" name="AEFI Surveilla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97D"/>
      <sz val="20"/>
    </font>
    <font>
      <name val="Calibri"/>
      <b val="1"/>
      <color rgb="001F497D"/>
      <sz val="12"/>
    </font>
    <font>
      <name val="Calibri"/>
      <color rgb="00000000"/>
      <sz val="11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375623"/>
      <sz val="11"/>
    </font>
    <font>
      <name val="Calibri"/>
      <b val="1"/>
      <color rgb="007F6000"/>
      <sz val="11"/>
    </font>
    <font>
      <name val="Calibri"/>
      <b val="1"/>
      <color rgb="00C00000"/>
      <sz val="11"/>
    </font>
    <font>
      <name val="Calibri"/>
      <i val="1"/>
      <sz val="11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1">
    <border>
      <left/>
      <right/>
      <top/>
      <bottom/>
      <diagonal/>
    </border>
    <border>
      <left style="thin">
        <color rgb="00D9D9D9"/>
      </left>
      <top style="thin">
        <color rgb="00D9D9D9"/>
      </top>
    </border>
    <border>
      <right style="thin">
        <color rgb="00D9D9D9"/>
      </right>
      <top style="thin">
        <color rgb="00D9D9D9"/>
      </top>
    </border>
    <border>
      <left style="thin">
        <color rgb="00D9D9D9"/>
      </left>
    </border>
    <border>
      <right style="thin">
        <color rgb="00D9D9D9"/>
      </right>
    </border>
    <border>
      <left style="thin">
        <color rgb="00D9D9D9"/>
      </left>
      <bottom style="thin">
        <color rgb="00D9D9D9"/>
      </bottom>
    </border>
    <border>
      <right style="thin">
        <color rgb="00D9D9D9"/>
      </right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  <border>
      <bottom style="medium">
        <color rgb="001F497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3" fontId="4" fillId="4" borderId="3" applyAlignment="1" pivotButton="0" quotePrefix="0" xfId="0">
      <alignment horizontal="center" vertical="center"/>
    </xf>
    <xf numFmtId="0" fontId="0" fillId="0" borderId="4" pivotButton="0" quotePrefix="0" xfId="0"/>
    <xf numFmtId="164" fontId="4" fillId="4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7" applyAlignment="1" pivotButton="0" quotePrefix="0" xfId="0">
      <alignment horizontal="center" vertical="center" wrapText="1"/>
    </xf>
    <xf numFmtId="0" fontId="6" fillId="0" borderId="8" pivotButton="0" quotePrefix="0" xfId="0"/>
    <xf numFmtId="3" fontId="6" fillId="5" borderId="8" pivotButton="0" quotePrefix="0" xfId="0"/>
    <xf numFmtId="164" fontId="9" fillId="6" borderId="8" pivotButton="0" quotePrefix="0" xfId="0"/>
    <xf numFmtId="0" fontId="6" fillId="7" borderId="8" pivotButton="0" quotePrefix="0" xfId="0"/>
    <xf numFmtId="0" fontId="9" fillId="0" borderId="9" pivotButton="0" quotePrefix="0" xfId="0"/>
    <xf numFmtId="0" fontId="2" fillId="0" borderId="9" pivotButton="0" quotePrefix="0" xfId="0"/>
    <xf numFmtId="3" fontId="9" fillId="0" borderId="9" pivotButton="0" quotePrefix="0" xfId="0"/>
    <xf numFmtId="164" fontId="9" fillId="6" borderId="9" pivotButton="0" quotePrefix="0" xfId="0"/>
    <xf numFmtId="0" fontId="9" fillId="0" borderId="10" pivotButton="0" quotePrefix="0" xfId="0"/>
    <xf numFmtId="0" fontId="2" fillId="0" borderId="10" pivotButton="0" quotePrefix="0" xfId="0"/>
    <xf numFmtId="3" fontId="9" fillId="0" borderId="10" pivotButton="0" quotePrefix="0" xfId="0"/>
    <xf numFmtId="0" fontId="0" fillId="0" borderId="10" pivotButton="0" quotePrefix="0" xfId="0"/>
    <xf numFmtId="164" fontId="9" fillId="0" borderId="10" pivotButton="0" quotePrefix="0" xfId="0"/>
    <xf numFmtId="0" fontId="9" fillId="0" borderId="8" pivotButton="0" quotePrefix="0" xfId="0"/>
    <xf numFmtId="165" fontId="6" fillId="0" borderId="8" pivotButton="0" quotePrefix="0" xfId="0"/>
    <xf numFmtId="3" fontId="6" fillId="0" borderId="8" applyAlignment="1" pivotButton="0" quotePrefix="0" xfId="0">
      <alignment horizontal="right"/>
    </xf>
    <xf numFmtId="0" fontId="10" fillId="6" borderId="8" pivotButton="0" quotePrefix="0" xfId="0"/>
    <xf numFmtId="0" fontId="6" fillId="6" borderId="8" pivotButton="0" quotePrefix="0" xfId="0"/>
    <xf numFmtId="0" fontId="9" fillId="7" borderId="8" pivotButton="0" quotePrefix="0" xfId="0"/>
    <xf numFmtId="165" fontId="6" fillId="7" borderId="8" pivotButton="0" quotePrefix="0" xfId="0"/>
    <xf numFmtId="3" fontId="6" fillId="7" borderId="8" applyAlignment="1" pivotButton="0" quotePrefix="0" xfId="0">
      <alignment horizontal="right"/>
    </xf>
    <xf numFmtId="0" fontId="11" fillId="8" borderId="8" pivotButton="0" quotePrefix="0" xfId="0"/>
    <xf numFmtId="0" fontId="12" fillId="9" borderId="8" pivotButton="0" quotePrefix="0" xfId="0"/>
    <xf numFmtId="0" fontId="13" fillId="8" borderId="8" pivotButton="0" quotePrefix="0" xfId="0"/>
    <xf numFmtId="0" fontId="0" fillId="0" borderId="8" pivotButton="0" quotePrefix="0" xfId="0"/>
    <xf numFmtId="0" fontId="0" fillId="5" borderId="8" pivotButton="0" quotePrefix="0" xfId="0"/>
    <xf numFmtId="0" fontId="0" fillId="7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Routine Immunization &amp; Vaccine Safety (AEFI) Monitoring Dashboard</t>
        </is>
      </c>
    </row>
    <row r="2"/>
    <row r="3">
      <c r="A3" s="2" t="inlineStr">
        <is>
          <t>Generated: 2026-08-20 | Regional M&amp;E Profile Demonstration Template</t>
        </is>
      </c>
    </row>
    <row r="4"/>
    <row r="5">
      <c r="A5" s="3" t="inlineStr">
        <is>
          <t>TOTAL TARGET POPULATION</t>
        </is>
      </c>
      <c r="B5" s="4" t="n"/>
      <c r="D5" s="3" t="inlineStr">
        <is>
          <t>AVG PENTA3 COVERAGE</t>
        </is>
      </c>
      <c r="E5" s="4" t="n"/>
      <c r="G5" s="3" t="inlineStr">
        <is>
          <t>AVG MCV1 (MEASLES) COV</t>
        </is>
      </c>
      <c r="H5" s="4" t="n"/>
      <c r="J5" s="3" t="inlineStr">
        <is>
          <t>TOTAL AEFI CASES REPORTED</t>
        </is>
      </c>
      <c r="K5" s="4" t="n"/>
    </row>
    <row r="6">
      <c r="A6" s="5">
        <f>'Immunization Tracker'!C14</f>
        <v/>
      </c>
      <c r="B6" s="6" t="n"/>
      <c r="D6" s="7">
        <f>'Immunization Tracker'!I15</f>
        <v/>
      </c>
      <c r="E6" s="6" t="n"/>
      <c r="G6" s="7">
        <f>'Immunization Tracker'!K15</f>
        <v/>
      </c>
      <c r="H6" s="6" t="n"/>
      <c r="J6" s="5">
        <f>COUNTA('AEFI Surveillance Log'!A5:A12)</f>
        <v/>
      </c>
      <c r="K6" s="6" t="n"/>
    </row>
    <row r="7">
      <c r="A7" s="8" t="n"/>
      <c r="B7" s="9" t="n"/>
      <c r="D7" s="8" t="n"/>
      <c r="E7" s="9" t="n"/>
      <c r="G7" s="8" t="n"/>
      <c r="H7" s="9" t="n"/>
      <c r="J7" s="8" t="n"/>
      <c r="K7" s="9" t="n"/>
    </row>
    <row r="8"/>
    <row r="9">
      <c r="A9" s="10" t="inlineStr">
        <is>
          <t>M&amp;E Data Management Methodology</t>
        </is>
      </c>
    </row>
    <row r="10">
      <c r="A10" s="11" t="inlineStr">
        <is>
          <t>1. Data Integration: Frontline immunization logs are registered locally, synchronized with eCHIS (Community Health Information Systems) and compiled in DHIS2.</t>
        </is>
      </c>
    </row>
    <row r="11">
      <c r="A11" s="11" t="inlineStr">
        <is>
          <t>2. Vaccine Safety (AEFI) Surveillance: Case-based adverse events are tracked and automatically cross-referenced with batch numbers and woreda target coverage rates.</t>
        </is>
      </c>
    </row>
    <row r="12">
      <c r="A12" s="11" t="inlineStr">
        <is>
          <t>3. Quality Assurance: Routine Data Quality Assessments (RDQA) are conducted monthly. Form-driven validations reduce reporting discrepancies by enforcing logic rules.</t>
        </is>
      </c>
    </row>
    <row r="13">
      <c r="A13" s="11" t="inlineStr">
        <is>
          <t>This workbook serves as an interactive model replicating sub-national vaccine database performance metrics developed for regional and woreda health structures.</t>
        </is>
      </c>
    </row>
  </sheetData>
  <mergeCells count="9">
    <mergeCell ref="J5:K5"/>
    <mergeCell ref="G6:H7"/>
    <mergeCell ref="J6:K7"/>
    <mergeCell ref="D5:E5"/>
    <mergeCell ref="A5:B5"/>
    <mergeCell ref="A6:B7"/>
    <mergeCell ref="G5:H5"/>
    <mergeCell ref="D6:E7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03" customWidth="1" min="1" max="1"/>
    <col width="26" customWidth="1" min="2" max="2"/>
    <col width="23" customWidth="1" min="3" max="3"/>
    <col width="19" customWidth="1" min="4" max="4"/>
    <col width="21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2" customWidth="1" min="11" max="11"/>
    <col width="19" customWidth="1" min="12" max="12"/>
    <col width="26" customWidth="1" min="13" max="13"/>
  </cols>
  <sheetData>
    <row r="1">
      <c r="A1" s="12" t="inlineStr">
        <is>
          <t>SUB-NATIONAL ROUTINE IMMUNIZATION COVERAGE TRACKER</t>
        </is>
      </c>
    </row>
    <row r="2">
      <c r="A2" s="2" t="inlineStr">
        <is>
          <t>Focus: Oromia Region Zones and Woredas (UNICEF/ORHB Vaccine Safety &amp; Routine Strengthening Support)</t>
        </is>
      </c>
    </row>
    <row r="3"/>
    <row r="4" ht="28" customHeight="1">
      <c r="A4" s="13" t="inlineStr">
        <is>
          <t>Reporting Zone</t>
        </is>
      </c>
      <c r="B4" s="13" t="inlineStr">
        <is>
          <t>Target Woreda</t>
        </is>
      </c>
      <c r="C4" s="13" t="inlineStr">
        <is>
          <t>Target Pop (Annual)</t>
        </is>
      </c>
      <c r="D4" s="13" t="inlineStr">
        <is>
          <t>BCG Doses Admin</t>
        </is>
      </c>
      <c r="E4" s="13" t="inlineStr">
        <is>
          <t>BCG Coverage Rate</t>
        </is>
      </c>
      <c r="F4" s="13" t="inlineStr">
        <is>
          <t>Penta1 Doses Admin</t>
        </is>
      </c>
      <c r="G4" s="13" t="inlineStr">
        <is>
          <t>Penta1 Coverage Rate</t>
        </is>
      </c>
      <c r="H4" s="13" t="inlineStr">
        <is>
          <t>Penta3 Doses Admin</t>
        </is>
      </c>
      <c r="I4" s="13" t="inlineStr">
        <is>
          <t>Penta3 Coverage Rate</t>
        </is>
      </c>
      <c r="J4" s="13" t="inlineStr">
        <is>
          <t>MCV1 (Measles) Admin</t>
        </is>
      </c>
      <c r="K4" s="13" t="inlineStr">
        <is>
          <t>MCV1 Coverage Rate</t>
        </is>
      </c>
      <c r="L4" s="13" t="inlineStr">
        <is>
          <t>COVID-19 Dose 1</t>
        </is>
      </c>
      <c r="M4" s="13" t="inlineStr">
        <is>
          <t>COVID-19 Coverage Rate</t>
        </is>
      </c>
    </row>
    <row r="5">
      <c r="A5" s="14" t="inlineStr">
        <is>
          <t>West Hararghe</t>
        </is>
      </c>
      <c r="B5" s="14" t="inlineStr">
        <is>
          <t>Chiro Woreda</t>
        </is>
      </c>
      <c r="C5" s="15" t="n">
        <v>14500</v>
      </c>
      <c r="D5" s="15" t="n">
        <v>14200</v>
      </c>
      <c r="E5" s="16">
        <f>D5/C5</f>
        <v/>
      </c>
      <c r="F5" s="15" t="n">
        <v>13900</v>
      </c>
      <c r="G5" s="16">
        <f>F5/C5</f>
        <v/>
      </c>
      <c r="H5" s="15" t="n">
        <v>13100</v>
      </c>
      <c r="I5" s="16">
        <f>H5/C5</f>
        <v/>
      </c>
      <c r="J5" s="15" t="n">
        <v>12800</v>
      </c>
      <c r="K5" s="16">
        <f>J5/C5</f>
        <v/>
      </c>
      <c r="L5" s="15" t="n">
        <v>12100</v>
      </c>
      <c r="M5" s="16">
        <f>L5/C5</f>
        <v/>
      </c>
    </row>
    <row r="6">
      <c r="A6" s="17" t="inlineStr">
        <is>
          <t>West Hararghe</t>
        </is>
      </c>
      <c r="B6" s="17" t="inlineStr">
        <is>
          <t>Anchar Woreda</t>
        </is>
      </c>
      <c r="C6" s="15" t="n">
        <v>9800</v>
      </c>
      <c r="D6" s="15" t="n">
        <v>9100</v>
      </c>
      <c r="E6" s="16">
        <f>D6/C6</f>
        <v/>
      </c>
      <c r="F6" s="15" t="n">
        <v>8900</v>
      </c>
      <c r="G6" s="16">
        <f>F6/C6</f>
        <v/>
      </c>
      <c r="H6" s="15" t="n">
        <v>8300</v>
      </c>
      <c r="I6" s="16">
        <f>H6/C6</f>
        <v/>
      </c>
      <c r="J6" s="15" t="n">
        <v>7900</v>
      </c>
      <c r="K6" s="16">
        <f>J6/C6</f>
        <v/>
      </c>
      <c r="L6" s="15" t="n">
        <v>7100</v>
      </c>
      <c r="M6" s="16">
        <f>L6/C6</f>
        <v/>
      </c>
    </row>
    <row r="7">
      <c r="A7" s="14" t="inlineStr">
        <is>
          <t>West Hararghe</t>
        </is>
      </c>
      <c r="B7" s="14" t="inlineStr">
        <is>
          <t>Gemechis Woreda</t>
        </is>
      </c>
      <c r="C7" s="15" t="n">
        <v>11200</v>
      </c>
      <c r="D7" s="15" t="n">
        <v>10900</v>
      </c>
      <c r="E7" s="16">
        <f>D7/C7</f>
        <v/>
      </c>
      <c r="F7" s="15" t="n">
        <v>10500</v>
      </c>
      <c r="G7" s="16">
        <f>F7/C7</f>
        <v/>
      </c>
      <c r="H7" s="15" t="n">
        <v>9800</v>
      </c>
      <c r="I7" s="16">
        <f>H7/C7</f>
        <v/>
      </c>
      <c r="J7" s="15" t="n">
        <v>9200</v>
      </c>
      <c r="K7" s="16">
        <f>J7/C7</f>
        <v/>
      </c>
      <c r="L7" s="15" t="n">
        <v>8400</v>
      </c>
      <c r="M7" s="16">
        <f>L7/C7</f>
        <v/>
      </c>
    </row>
    <row r="8">
      <c r="A8" s="17" t="inlineStr">
        <is>
          <t>East Hararghe</t>
        </is>
      </c>
      <c r="B8" s="17" t="inlineStr">
        <is>
          <t>Babile Woreda</t>
        </is>
      </c>
      <c r="C8" s="15" t="n">
        <v>12500</v>
      </c>
      <c r="D8" s="15" t="n">
        <v>12100</v>
      </c>
      <c r="E8" s="16">
        <f>D8/C8</f>
        <v/>
      </c>
      <c r="F8" s="15" t="n">
        <v>11800</v>
      </c>
      <c r="G8" s="16">
        <f>F8/C8</f>
        <v/>
      </c>
      <c r="H8" s="15" t="n">
        <v>11200</v>
      </c>
      <c r="I8" s="16">
        <f>H8/C8</f>
        <v/>
      </c>
      <c r="J8" s="15" t="n">
        <v>10800</v>
      </c>
      <c r="K8" s="16">
        <f>J8/C8</f>
        <v/>
      </c>
      <c r="L8" s="15" t="n">
        <v>9900</v>
      </c>
      <c r="M8" s="16">
        <f>L8/C8</f>
        <v/>
      </c>
    </row>
    <row r="9">
      <c r="A9" s="14" t="inlineStr">
        <is>
          <t>East Hararghe</t>
        </is>
      </c>
      <c r="B9" s="14" t="inlineStr">
        <is>
          <t>Gursum Woreda</t>
        </is>
      </c>
      <c r="C9" s="15" t="n">
        <v>8900</v>
      </c>
      <c r="D9" s="15" t="n">
        <v>8400</v>
      </c>
      <c r="E9" s="16">
        <f>D9/C9</f>
        <v/>
      </c>
      <c r="F9" s="15" t="n">
        <v>8100</v>
      </c>
      <c r="G9" s="16">
        <f>F9/C9</f>
        <v/>
      </c>
      <c r="H9" s="15" t="n">
        <v>7600</v>
      </c>
      <c r="I9" s="16">
        <f>H9/C9</f>
        <v/>
      </c>
      <c r="J9" s="15" t="n">
        <v>7100</v>
      </c>
      <c r="K9" s="16">
        <f>J9/C9</f>
        <v/>
      </c>
      <c r="L9" s="15" t="n">
        <v>6500</v>
      </c>
      <c r="M9" s="16">
        <f>L9/C9</f>
        <v/>
      </c>
    </row>
    <row r="10">
      <c r="A10" s="17" t="inlineStr">
        <is>
          <t>Adama Special</t>
        </is>
      </c>
      <c r="B10" s="17" t="inlineStr">
        <is>
          <t>Adama Town</t>
        </is>
      </c>
      <c r="C10" s="15" t="n">
        <v>22000</v>
      </c>
      <c r="D10" s="15" t="n">
        <v>21800</v>
      </c>
      <c r="E10" s="16">
        <f>D10/C10</f>
        <v/>
      </c>
      <c r="F10" s="15" t="n">
        <v>21200</v>
      </c>
      <c r="G10" s="16">
        <f>F10/C10</f>
        <v/>
      </c>
      <c r="H10" s="15" t="n">
        <v>20500</v>
      </c>
      <c r="I10" s="16">
        <f>H10/C10</f>
        <v/>
      </c>
      <c r="J10" s="15" t="n">
        <v>19800</v>
      </c>
      <c r="K10" s="16">
        <f>J10/C10</f>
        <v/>
      </c>
      <c r="L10" s="15" t="n">
        <v>18500</v>
      </c>
      <c r="M10" s="16">
        <f>L10/C10</f>
        <v/>
      </c>
    </row>
    <row r="11">
      <c r="A11" s="14" t="inlineStr">
        <is>
          <t>Shashemene</t>
        </is>
      </c>
      <c r="B11" s="14" t="inlineStr">
        <is>
          <t>Shashemene Woreda</t>
        </is>
      </c>
      <c r="C11" s="15" t="n">
        <v>18500</v>
      </c>
      <c r="D11" s="15" t="n">
        <v>17900</v>
      </c>
      <c r="E11" s="16">
        <f>D11/C11</f>
        <v/>
      </c>
      <c r="F11" s="15" t="n">
        <v>17500</v>
      </c>
      <c r="G11" s="16">
        <f>F11/C11</f>
        <v/>
      </c>
      <c r="H11" s="15" t="n">
        <v>16900</v>
      </c>
      <c r="I11" s="16">
        <f>H11/C11</f>
        <v/>
      </c>
      <c r="J11" s="15" t="n">
        <v>16200</v>
      </c>
      <c r="K11" s="16">
        <f>J11/C11</f>
        <v/>
      </c>
      <c r="L11" s="15" t="n">
        <v>15100</v>
      </c>
      <c r="M11" s="16">
        <f>L11/C11</f>
        <v/>
      </c>
    </row>
    <row r="12">
      <c r="A12" s="17" t="inlineStr">
        <is>
          <t>West Hararghe</t>
        </is>
      </c>
      <c r="B12" s="17" t="inlineStr">
        <is>
          <t>Chiro Town</t>
        </is>
      </c>
      <c r="C12" s="15" t="n">
        <v>6500</v>
      </c>
      <c r="D12" s="15" t="n">
        <v>6400</v>
      </c>
      <c r="E12" s="16">
        <f>D12/C12</f>
        <v/>
      </c>
      <c r="F12" s="15" t="n">
        <v>6250</v>
      </c>
      <c r="G12" s="16">
        <f>F12/C12</f>
        <v/>
      </c>
      <c r="H12" s="15" t="n">
        <v>5900</v>
      </c>
      <c r="I12" s="16">
        <f>H12/C12</f>
        <v/>
      </c>
      <c r="J12" s="15" t="n">
        <v>5700</v>
      </c>
      <c r="K12" s="16">
        <f>J12/C12</f>
        <v/>
      </c>
      <c r="L12" s="15" t="n">
        <v>5200</v>
      </c>
      <c r="M12" s="16">
        <f>L12/C12</f>
        <v/>
      </c>
    </row>
    <row r="13"/>
    <row r="14">
      <c r="A14" s="18" t="inlineStr">
        <is>
          <t>TOTALS</t>
        </is>
      </c>
      <c r="B14" s="19" t="inlineStr">
        <is>
          <t>Sum of Districts</t>
        </is>
      </c>
      <c r="C14" s="20">
        <f>SUM(C5:C12)</f>
        <v/>
      </c>
      <c r="D14" s="20">
        <f>SUM(D5:D12)</f>
        <v/>
      </c>
      <c r="E14" s="21">
        <f>D14/C14</f>
        <v/>
      </c>
      <c r="F14" s="20">
        <f>SUM(F5:F12)</f>
        <v/>
      </c>
      <c r="G14" s="21">
        <f>F14/C14</f>
        <v/>
      </c>
      <c r="H14" s="20">
        <f>SUM(H5:H12)</f>
        <v/>
      </c>
      <c r="I14" s="21">
        <f>H14/C14</f>
        <v/>
      </c>
      <c r="J14" s="20">
        <f>SUM(J5:J12)</f>
        <v/>
      </c>
      <c r="K14" s="21">
        <f>J14/C14</f>
        <v/>
      </c>
      <c r="L14" s="20">
        <f>SUM(L5:L12)</f>
        <v/>
      </c>
      <c r="M14" s="21">
        <f>L14/C14</f>
        <v/>
      </c>
    </row>
    <row r="15">
      <c r="A15" s="22" t="inlineStr">
        <is>
          <t>AVERAGES</t>
        </is>
      </c>
      <c r="B15" s="23" t="inlineStr">
        <is>
          <t>Weighted Regional Mean</t>
        </is>
      </c>
      <c r="C15" s="24">
        <f>AVERAGE(C5:C12)</f>
        <v/>
      </c>
      <c r="D15" s="25" t="n"/>
      <c r="E15" s="26">
        <f>AVERAGE(E5:E12)</f>
        <v/>
      </c>
      <c r="F15" s="25" t="n"/>
      <c r="G15" s="26">
        <f>AVERAGE(G5:G12)</f>
        <v/>
      </c>
      <c r="H15" s="25" t="n"/>
      <c r="I15" s="26">
        <f>AVERAGE(I5:I12)</f>
        <v/>
      </c>
      <c r="J15" s="25" t="n"/>
      <c r="K15" s="26">
        <f>AVERAGE(K5:K12)</f>
        <v/>
      </c>
      <c r="L15" s="25" t="n"/>
      <c r="M15" s="26">
        <f>AVERAGE(M5:M12)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18" customWidth="1" min="3" max="3"/>
    <col width="21" customWidth="1" min="4" max="4"/>
    <col width="24" customWidth="1" min="5" max="5"/>
    <col width="16" customWidth="1" min="6" max="6"/>
    <col width="25" customWidth="1" min="7" max="7"/>
    <col width="17" customWidth="1" min="8" max="8"/>
    <col width="30" customWidth="1" min="9" max="9"/>
    <col width="35" customWidth="1" min="10" max="10"/>
    <col width="23" customWidth="1" min="11" max="11"/>
  </cols>
  <sheetData>
    <row r="1">
      <c r="A1" s="12" t="inlineStr">
        <is>
          <t>ADVERSE EVENTS FOLLOWING IMMUNIZATION (AEFI) CASE REGISTRY</t>
        </is>
      </c>
    </row>
    <row r="2">
      <c r="A2" s="2" t="inlineStr">
        <is>
          <t>Digital Case-Based Reporting Database (UNICEF Routine Immunization &amp; Safety Integration)</t>
        </is>
      </c>
    </row>
    <row r="3"/>
    <row r="4" ht="28" customHeight="1">
      <c r="A4" s="13" t="inlineStr">
        <is>
          <t>Case ID</t>
        </is>
      </c>
      <c r="B4" s="13" t="inlineStr">
        <is>
          <t>Reporting Date</t>
        </is>
      </c>
      <c r="C4" s="13" t="inlineStr">
        <is>
          <t>Reporting Zone</t>
        </is>
      </c>
      <c r="D4" s="13" t="inlineStr">
        <is>
          <t>Target Woreda</t>
        </is>
      </c>
      <c r="E4" s="13" t="inlineStr">
        <is>
          <t>Vaccine Administered</t>
        </is>
      </c>
      <c r="F4" s="13" t="inlineStr">
        <is>
          <t>Age (Months)</t>
        </is>
      </c>
      <c r="G4" s="13" t="inlineStr">
        <is>
          <t>Symptom Onset (Hours)</t>
        </is>
      </c>
      <c r="H4" s="13" t="inlineStr">
        <is>
          <t>AEFI Severity</t>
        </is>
      </c>
      <c r="I4" s="13" t="inlineStr">
        <is>
          <t>Clinical Symptoms</t>
        </is>
      </c>
      <c r="J4" s="13" t="inlineStr">
        <is>
          <t>Action Taken</t>
        </is>
      </c>
      <c r="K4" s="13" t="inlineStr">
        <is>
          <t>Reporting Status</t>
        </is>
      </c>
    </row>
    <row r="5">
      <c r="A5" s="27" t="inlineStr">
        <is>
          <t>AEFI-2026-001</t>
        </is>
      </c>
      <c r="B5" s="28" t="inlineStr">
        <is>
          <t>2026-08-01</t>
        </is>
      </c>
      <c r="C5" s="14" t="inlineStr">
        <is>
          <t>West Hararghe</t>
        </is>
      </c>
      <c r="D5" s="14" t="inlineStr">
        <is>
          <t>Chiro Woreda</t>
        </is>
      </c>
      <c r="E5" s="14" t="inlineStr">
        <is>
          <t>COVID-19 (Dose 1)</t>
        </is>
      </c>
      <c r="F5" s="29" t="n">
        <v>240</v>
      </c>
      <c r="G5" s="29" t="n">
        <v>12</v>
      </c>
      <c r="H5" s="30" t="inlineStr">
        <is>
          <t>Mild</t>
        </is>
      </c>
      <c r="I5" s="14" t="inlineStr">
        <is>
          <t>Local swelling, low-grade fever</t>
        </is>
      </c>
      <c r="J5" s="14" t="inlineStr">
        <is>
          <t>Paracetamol administered, monitored</t>
        </is>
      </c>
      <c r="K5" s="31" t="inlineStr">
        <is>
          <t>Resolved</t>
        </is>
      </c>
    </row>
    <row r="6">
      <c r="A6" s="32" t="inlineStr">
        <is>
          <t>AEFI-2026-002</t>
        </is>
      </c>
      <c r="B6" s="33" t="inlineStr">
        <is>
          <t>2026-08-03</t>
        </is>
      </c>
      <c r="C6" s="17" t="inlineStr">
        <is>
          <t>West Hararghe</t>
        </is>
      </c>
      <c r="D6" s="17" t="inlineStr">
        <is>
          <t>Anchar Woreda</t>
        </is>
      </c>
      <c r="E6" s="17" t="inlineStr">
        <is>
          <t>Penta3</t>
        </is>
      </c>
      <c r="F6" s="34" t="n">
        <v>4</v>
      </c>
      <c r="G6" s="34" t="n">
        <v>6</v>
      </c>
      <c r="H6" s="35" t="inlineStr">
        <is>
          <t>Moderate</t>
        </is>
      </c>
      <c r="I6" s="17" t="inlineStr">
        <is>
          <t>High fever, persistent crying</t>
        </is>
      </c>
      <c r="J6" s="17" t="inlineStr">
        <is>
          <t>Pediatric consult, home support</t>
        </is>
      </c>
      <c r="K6" s="31" t="inlineStr">
        <is>
          <t>Resolved</t>
        </is>
      </c>
    </row>
    <row r="7">
      <c r="A7" s="27" t="inlineStr">
        <is>
          <t>AEFI-2026-003</t>
        </is>
      </c>
      <c r="B7" s="28" t="inlineStr">
        <is>
          <t>2026-08-04</t>
        </is>
      </c>
      <c r="C7" s="14" t="inlineStr">
        <is>
          <t>East Hararghe</t>
        </is>
      </c>
      <c r="D7" s="14" t="inlineStr">
        <is>
          <t>Babile Woreda</t>
        </is>
      </c>
      <c r="E7" s="14" t="inlineStr">
        <is>
          <t>MCV1 (Measles)</t>
        </is>
      </c>
      <c r="F7" s="29" t="n">
        <v>9</v>
      </c>
      <c r="G7" s="29" t="n">
        <v>24</v>
      </c>
      <c r="H7" s="30" t="inlineStr">
        <is>
          <t>Mild</t>
        </is>
      </c>
      <c r="I7" s="14" t="inlineStr">
        <is>
          <t>Transient rash</t>
        </is>
      </c>
      <c r="J7" s="14" t="inlineStr">
        <is>
          <t>Parental reassurance</t>
        </is>
      </c>
      <c r="K7" s="31" t="inlineStr">
        <is>
          <t>Resolved</t>
        </is>
      </c>
    </row>
    <row r="8">
      <c r="A8" s="32" t="inlineStr">
        <is>
          <t>AEFI-2026-004</t>
        </is>
      </c>
      <c r="B8" s="33" t="inlineStr">
        <is>
          <t>2026-08-10</t>
        </is>
      </c>
      <c r="C8" s="17" t="inlineStr">
        <is>
          <t>West Hararghe</t>
        </is>
      </c>
      <c r="D8" s="17" t="inlineStr">
        <is>
          <t>Chiro Town</t>
        </is>
      </c>
      <c r="E8" s="17" t="inlineStr">
        <is>
          <t>BCG</t>
        </is>
      </c>
      <c r="F8" s="34" t="n">
        <v>1</v>
      </c>
      <c r="G8" s="34" t="n">
        <v>48</v>
      </c>
      <c r="H8" s="30" t="inlineStr">
        <is>
          <t>Mild</t>
        </is>
      </c>
      <c r="I8" s="17" t="inlineStr">
        <is>
          <t>Minor abscess</t>
        </is>
      </c>
      <c r="J8" s="17" t="inlineStr">
        <is>
          <t>Clean dressing, local care</t>
        </is>
      </c>
      <c r="K8" s="31" t="inlineStr">
        <is>
          <t>Resolved</t>
        </is>
      </c>
    </row>
    <row r="9">
      <c r="A9" s="27" t="inlineStr">
        <is>
          <t>AEFI-2026-005</t>
        </is>
      </c>
      <c r="B9" s="28" t="inlineStr">
        <is>
          <t>2026-08-12</t>
        </is>
      </c>
      <c r="C9" s="14" t="inlineStr">
        <is>
          <t>Adama Special</t>
        </is>
      </c>
      <c r="D9" s="14" t="inlineStr">
        <is>
          <t>Adama Town</t>
        </is>
      </c>
      <c r="E9" s="14" t="inlineStr">
        <is>
          <t>COVID-19 (Dose 1)</t>
        </is>
      </c>
      <c r="F9" s="29" t="n">
        <v>312</v>
      </c>
      <c r="G9" s="29" t="n">
        <v>4</v>
      </c>
      <c r="H9" s="36" t="inlineStr">
        <is>
          <t>Severe</t>
        </is>
      </c>
      <c r="I9" s="14" t="inlineStr">
        <is>
          <t>Anaphylaxis (breathing difficulty)</t>
        </is>
      </c>
      <c r="J9" s="14" t="inlineStr">
        <is>
          <t>Admitted to hospital, Epinephrine given</t>
        </is>
      </c>
      <c r="K9" s="31" t="inlineStr">
        <is>
          <t>Resolved</t>
        </is>
      </c>
    </row>
    <row r="10">
      <c r="A10" s="32" t="inlineStr">
        <is>
          <t>AEFI-2026-006</t>
        </is>
      </c>
      <c r="B10" s="33" t="inlineStr">
        <is>
          <t>2026-08-15</t>
        </is>
      </c>
      <c r="C10" s="17" t="inlineStr">
        <is>
          <t>Shashemene</t>
        </is>
      </c>
      <c r="D10" s="17" t="inlineStr">
        <is>
          <t>Shashemene Woreda</t>
        </is>
      </c>
      <c r="E10" s="17" t="inlineStr">
        <is>
          <t>Penta1</t>
        </is>
      </c>
      <c r="F10" s="34" t="n">
        <v>2</v>
      </c>
      <c r="G10" s="34" t="n">
        <v>8</v>
      </c>
      <c r="H10" s="35" t="inlineStr">
        <is>
          <t>Moderate</t>
        </is>
      </c>
      <c r="I10" s="17" t="inlineStr">
        <is>
          <t>High fever, vomiting</t>
        </is>
      </c>
      <c r="J10" s="17" t="inlineStr">
        <is>
          <t>IV fluids, monitored at clinic</t>
        </is>
      </c>
      <c r="K10" s="31" t="inlineStr">
        <is>
          <t>Resolved</t>
        </is>
      </c>
    </row>
    <row r="11">
      <c r="A11" s="27" t="inlineStr">
        <is>
          <t>AEFI-2026-007</t>
        </is>
      </c>
      <c r="B11" s="28" t="inlineStr">
        <is>
          <t>2026-08-18</t>
        </is>
      </c>
      <c r="C11" s="14" t="inlineStr">
        <is>
          <t>West Hararghe</t>
        </is>
      </c>
      <c r="D11" s="14" t="inlineStr">
        <is>
          <t>Gemechis Woreda</t>
        </is>
      </c>
      <c r="E11" s="14" t="inlineStr">
        <is>
          <t>MCV1 (Measles)</t>
        </is>
      </c>
      <c r="F11" s="29" t="n">
        <v>10</v>
      </c>
      <c r="G11" s="29" t="n">
        <v>18</v>
      </c>
      <c r="H11" s="30" t="inlineStr">
        <is>
          <t>Mild</t>
        </is>
      </c>
      <c r="I11" s="14" t="inlineStr">
        <is>
          <t>Mild fever, irritability</t>
        </is>
      </c>
      <c r="J11" s="14" t="inlineStr">
        <is>
          <t>Monitored, home care</t>
        </is>
      </c>
      <c r="K11" s="37" t="inlineStr">
        <is>
          <t>Under Investigation</t>
        </is>
      </c>
    </row>
    <row r="12">
      <c r="A12" s="32" t="inlineStr">
        <is>
          <t>AEFI-2026-008</t>
        </is>
      </c>
      <c r="B12" s="33" t="inlineStr">
        <is>
          <t>2026-08-20</t>
        </is>
      </c>
      <c r="C12" s="17" t="inlineStr">
        <is>
          <t>East Hararghe</t>
        </is>
      </c>
      <c r="D12" s="17" t="inlineStr">
        <is>
          <t>Gursum Woreda</t>
        </is>
      </c>
      <c r="E12" s="17" t="inlineStr">
        <is>
          <t>COVID-19 (Dose 1)</t>
        </is>
      </c>
      <c r="F12" s="34" t="n">
        <v>180</v>
      </c>
      <c r="G12" s="34" t="n">
        <v>24</v>
      </c>
      <c r="H12" s="35" t="inlineStr">
        <is>
          <t>Moderate</t>
        </is>
      </c>
      <c r="I12" s="17" t="inlineStr">
        <is>
          <t>Joint pain, fever</t>
        </is>
      </c>
      <c r="J12" s="17" t="inlineStr">
        <is>
          <t>Analgesic given, resting</t>
        </is>
      </c>
      <c r="K12" s="37" t="inlineStr">
        <is>
          <t>Under Investigation</t>
        </is>
      </c>
    </row>
    <row r="13">
      <c r="A13" s="38" t="n"/>
      <c r="B13" s="38" t="n"/>
      <c r="C13" s="38" t="n"/>
      <c r="D13" s="38" t="n"/>
      <c r="E13" s="38" t="n"/>
      <c r="F13" s="38" t="n"/>
      <c r="G13" s="38" t="n"/>
      <c r="H13" s="39" t="n"/>
      <c r="I13" s="38" t="n"/>
      <c r="J13" s="38" t="n"/>
      <c r="K13" s="39" t="n"/>
    </row>
    <row r="14">
      <c r="A14" s="40" t="n"/>
      <c r="B14" s="40" t="n"/>
      <c r="C14" s="40" t="n"/>
      <c r="D14" s="40" t="n"/>
      <c r="E14" s="40" t="n"/>
      <c r="F14" s="40" t="n"/>
      <c r="G14" s="40" t="n"/>
      <c r="H14" s="39" t="n"/>
      <c r="I14" s="40" t="n"/>
      <c r="J14" s="40" t="n"/>
      <c r="K14" s="39" t="n"/>
    </row>
    <row r="15">
      <c r="A15" s="38" t="n"/>
      <c r="B15" s="38" t="n"/>
      <c r="C15" s="38" t="n"/>
      <c r="D15" s="38" t="n"/>
      <c r="E15" s="38" t="n"/>
      <c r="F15" s="38" t="n"/>
      <c r="G15" s="38" t="n"/>
      <c r="H15" s="39" t="n"/>
      <c r="I15" s="38" t="n"/>
      <c r="J15" s="38" t="n"/>
      <c r="K15" s="39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39" t="n"/>
      <c r="I16" s="40" t="n"/>
      <c r="J16" s="40" t="n"/>
      <c r="K16" s="39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9" t="n"/>
      <c r="I17" s="38" t="n"/>
      <c r="J17" s="38" t="n"/>
      <c r="K17" s="39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39" t="n"/>
      <c r="I18" s="40" t="n"/>
      <c r="J18" s="40" t="n"/>
      <c r="K18" s="39" t="n"/>
    </row>
    <row r="19">
      <c r="A19" s="38" t="n"/>
      <c r="B19" s="38" t="n"/>
      <c r="C19" s="38" t="n"/>
      <c r="D19" s="38" t="n"/>
      <c r="E19" s="38" t="n"/>
      <c r="F19" s="38" t="n"/>
      <c r="G19" s="38" t="n"/>
      <c r="H19" s="39" t="n"/>
      <c r="I19" s="38" t="n"/>
      <c r="J19" s="38" t="n"/>
      <c r="K19" s="39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39" t="n"/>
      <c r="I20" s="40" t="n"/>
      <c r="J20" s="40" t="n"/>
      <c r="K20" s="39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9" t="n"/>
      <c r="I21" s="38" t="n"/>
      <c r="J21" s="38" t="n"/>
      <c r="K21" s="39" t="n"/>
    </row>
    <row r="22">
      <c r="A22" s="40" t="n"/>
      <c r="B22" s="40" t="n"/>
      <c r="C22" s="40" t="n"/>
      <c r="D22" s="40" t="n"/>
      <c r="E22" s="40" t="n"/>
      <c r="F22" s="40" t="n"/>
      <c r="G22" s="40" t="n"/>
      <c r="H22" s="39" t="n"/>
      <c r="I22" s="40" t="n"/>
      <c r="J22" s="40" t="n"/>
      <c r="K22" s="39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9" t="n"/>
      <c r="I23" s="38" t="n"/>
      <c r="J23" s="38" t="n"/>
      <c r="K23" s="39" t="n"/>
    </row>
    <row r="24">
      <c r="A24" s="40" t="n"/>
      <c r="B24" s="40" t="n"/>
      <c r="C24" s="40" t="n"/>
      <c r="D24" s="40" t="n"/>
      <c r="E24" s="40" t="n"/>
      <c r="F24" s="40" t="n"/>
      <c r="G24" s="40" t="n"/>
      <c r="H24" s="39" t="n"/>
      <c r="I24" s="40" t="n"/>
      <c r="J24" s="40" t="n"/>
      <c r="K24" s="39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9" t="n"/>
      <c r="I25" s="38" t="n"/>
      <c r="J25" s="38" t="n"/>
      <c r="K25" s="39" t="n"/>
    </row>
  </sheetData>
  <dataValidations count="2">
    <dataValidation sqref="H13:H25" showDropDown="0" showInputMessage="0" showErrorMessage="0" allowBlank="1" type="list">
      <formula1>"Mild,Moderate,Severe"</formula1>
    </dataValidation>
    <dataValidation sqref="K13:K25" showDropDown="0" showInputMessage="0" showErrorMessage="0" allowBlank="1" type="list">
      <formula1>"Under Investigation,Resolved,Escalated"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2026-08-20T21:12:10Z</dcterms:created>
  <dcterms:modified xmlns:dcterms="http://purl.org/dc/terms/" xmlns:xsi="http://www.w3.org/2001/XMLSchema-instance" xsi:type="dcterms:W3CDTF">2026-08-20T21:12:10Z</dcterms:modified>
</cp:coreProperties>
</file>